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20" yWindow="12" windowWidth="15192" windowHeight="8196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21" i="1"/>
  <c r="H20"/>
  <c r="H18"/>
  <c r="H17"/>
  <c r="H16"/>
  <c r="H15"/>
  <c r="H14"/>
  <c r="H13"/>
  <c r="H12"/>
  <c r="H11"/>
  <c r="H10"/>
  <c r="H9"/>
  <c r="H8"/>
  <c r="C24"/>
  <c r="D24"/>
  <c r="E24"/>
  <c r="F24"/>
  <c r="G24"/>
  <c r="I24"/>
  <c r="J24"/>
  <c r="K24"/>
  <c r="L24"/>
  <c r="M24"/>
  <c r="N24"/>
  <c r="O24"/>
  <c r="P24"/>
  <c r="R24"/>
  <c r="S24"/>
  <c r="T24"/>
  <c r="B24"/>
  <c r="H7"/>
  <c r="H6"/>
  <c r="H24" l="1"/>
</calcChain>
</file>

<file path=xl/sharedStrings.xml><?xml version="1.0" encoding="utf-8"?>
<sst xmlns="http://schemas.openxmlformats.org/spreadsheetml/2006/main" count="51" uniqueCount="33">
  <si>
    <t>Cougar Fishtrap 2010</t>
  </si>
  <si>
    <t>Date</t>
  </si>
  <si>
    <t>Chinook</t>
  </si>
  <si>
    <t>Jacks</t>
  </si>
  <si>
    <t>Daily Total</t>
  </si>
  <si>
    <t>STS</t>
  </si>
  <si>
    <t>CSU</t>
  </si>
  <si>
    <t>Comments</t>
  </si>
  <si>
    <t>Marked</t>
  </si>
  <si>
    <t>Unmarked</t>
  </si>
  <si>
    <t xml:space="preserve">Marked </t>
  </si>
  <si>
    <t xml:space="preserve">Rainbow </t>
  </si>
  <si>
    <t>Male</t>
  </si>
  <si>
    <t>Female</t>
  </si>
  <si>
    <t xml:space="preserve">Male </t>
  </si>
  <si>
    <t>Released at Hard Rock</t>
  </si>
  <si>
    <t>NPM</t>
  </si>
  <si>
    <t>CT</t>
  </si>
  <si>
    <t>CHS Juv.</t>
  </si>
  <si>
    <t>BUT</t>
  </si>
  <si>
    <t>37 M, 3F released at Hard Rock, 9F released at Slide Cr.  BUT 475mm</t>
  </si>
  <si>
    <t xml:space="preserve">Total </t>
  </si>
  <si>
    <t>Released at Homestead</t>
  </si>
  <si>
    <t>Released at Hard Rock. Female NM CHS likely hatchery origin, left pec fin missing</t>
  </si>
  <si>
    <t>Released at Hard Rock. 1 radio tagged female released at Homestead.</t>
  </si>
  <si>
    <t>Released at Hard Rock.  STS 530mm released in Tailrace</t>
  </si>
  <si>
    <t>Released at Hard Rock.  STS 535mm released in Tailrace.  May have been RE from 9/16. We UCC today.</t>
  </si>
  <si>
    <t>WF</t>
  </si>
  <si>
    <t>STS was a female that was tagged at Fall Cr facility on 7/26/10.Released back into tailrace.</t>
  </si>
  <si>
    <t>CHS released back into tailrace</t>
  </si>
  <si>
    <t>closed trap for the season.</t>
  </si>
  <si>
    <t>No Fish</t>
  </si>
  <si>
    <t>Opened trap?</t>
  </si>
</sst>
</file>

<file path=xl/styles.xml><?xml version="1.0" encoding="utf-8"?>
<styleSheet xmlns="http://schemas.openxmlformats.org/spreadsheetml/2006/main">
  <numFmts count="1">
    <numFmt numFmtId="164" formatCode="[$-409]dd\-mmm\-yy;@"/>
  </numFmts>
  <fonts count="6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0" borderId="0" xfId="1" applyFont="1" applyAlignment="1">
      <alignment horizontal="center"/>
    </xf>
    <xf numFmtId="0" fontId="2" fillId="0" borderId="0" xfId="1" applyFont="1"/>
    <xf numFmtId="0" fontId="3" fillId="0" borderId="0" xfId="0" applyFont="1"/>
    <xf numFmtId="0" fontId="2" fillId="0" borderId="0" xfId="1" applyFont="1" applyBorder="1" applyAlignment="1">
      <alignment horizontal="center"/>
    </xf>
    <xf numFmtId="0" fontId="2" fillId="0" borderId="1" xfId="1" applyFont="1" applyBorder="1"/>
    <xf numFmtId="0" fontId="2" fillId="0" borderId="0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1" applyNumberFormat="1" applyFont="1" applyAlignment="1">
      <alignment horizontal="center"/>
    </xf>
    <xf numFmtId="0" fontId="2" fillId="0" borderId="0" xfId="1" applyNumberFormat="1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1" applyFont="1" applyBorder="1" applyAlignment="1">
      <alignment horizontal="center"/>
    </xf>
    <xf numFmtId="164" fontId="2" fillId="0" borderId="0" xfId="1" applyNumberFormat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4" fillId="0" borderId="0" xfId="1" applyFont="1" applyAlignment="1">
      <alignment horizontal="center"/>
    </xf>
    <xf numFmtId="164" fontId="2" fillId="0" borderId="0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0" xfId="1" applyFont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24"/>
  <sheetViews>
    <sheetView tabSelected="1" workbookViewId="0">
      <selection activeCell="V28" sqref="V28"/>
    </sheetView>
  </sheetViews>
  <sheetFormatPr defaultRowHeight="14.4"/>
  <cols>
    <col min="1" max="1" width="9.5546875" style="8" customWidth="1"/>
    <col min="2" max="2" width="5.5546875" style="9" customWidth="1"/>
    <col min="3" max="3" width="6.5546875" style="9" customWidth="1"/>
    <col min="4" max="4" width="5.88671875" style="9" customWidth="1"/>
    <col min="5" max="5" width="7.6640625" style="9" customWidth="1"/>
    <col min="6" max="6" width="6.44140625" customWidth="1"/>
    <col min="7" max="7" width="9.44140625" style="9" customWidth="1"/>
    <col min="8" max="8" width="9.109375" style="9" customWidth="1"/>
    <col min="9" max="9" width="5" customWidth="1"/>
    <col min="10" max="10" width="6.88671875" customWidth="1"/>
    <col min="11" max="11" width="5.6640625" customWidth="1"/>
    <col min="12" max="12" width="6.88671875" customWidth="1"/>
    <col min="13" max="13" width="6.33203125" customWidth="1"/>
    <col min="14" max="14" width="9.109375" style="13"/>
    <col min="15" max="17" width="4.44140625" style="9" customWidth="1"/>
    <col min="18" max="18" width="8.5546875" style="9" customWidth="1"/>
    <col min="19" max="19" width="5.44140625" customWidth="1"/>
    <col min="20" max="20" width="5.88671875" customWidth="1"/>
  </cols>
  <sheetData>
    <row r="1" spans="1:2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"/>
      <c r="N1" s="10"/>
      <c r="O1" s="1"/>
      <c r="P1" s="1"/>
      <c r="Q1" s="1"/>
      <c r="R1" s="1"/>
      <c r="S1" s="2"/>
      <c r="T1" s="2"/>
      <c r="U1" s="2"/>
      <c r="V1" s="2"/>
      <c r="W1" s="2"/>
      <c r="X1" s="3"/>
    </row>
    <row r="2" spans="1:24">
      <c r="A2" s="28" t="s">
        <v>1</v>
      </c>
      <c r="B2" s="25" t="s">
        <v>2</v>
      </c>
      <c r="C2" s="25"/>
      <c r="D2" s="25"/>
      <c r="E2" s="25"/>
      <c r="F2" s="25" t="s">
        <v>3</v>
      </c>
      <c r="G2" s="25"/>
      <c r="H2" s="25" t="s">
        <v>4</v>
      </c>
      <c r="I2" s="25" t="s">
        <v>5</v>
      </c>
      <c r="J2" s="25"/>
      <c r="K2" s="25"/>
      <c r="L2" s="25"/>
      <c r="M2" s="4"/>
      <c r="N2" s="11"/>
      <c r="O2" s="25" t="s">
        <v>17</v>
      </c>
      <c r="P2" s="6"/>
      <c r="Q2" s="16"/>
      <c r="R2" s="6"/>
      <c r="S2" s="25" t="s">
        <v>6</v>
      </c>
      <c r="T2" s="4"/>
      <c r="U2" s="25" t="s">
        <v>7</v>
      </c>
      <c r="V2" s="3"/>
    </row>
    <row r="3" spans="1:24">
      <c r="A3" s="28"/>
      <c r="B3" s="25" t="s">
        <v>8</v>
      </c>
      <c r="C3" s="25"/>
      <c r="D3" s="25" t="s">
        <v>9</v>
      </c>
      <c r="E3" s="25"/>
      <c r="F3" s="6" t="s">
        <v>10</v>
      </c>
      <c r="G3" s="14" t="s">
        <v>9</v>
      </c>
      <c r="H3" s="25"/>
      <c r="I3" s="25" t="s">
        <v>8</v>
      </c>
      <c r="J3" s="25"/>
      <c r="K3" s="25" t="s">
        <v>9</v>
      </c>
      <c r="L3" s="25"/>
      <c r="M3" s="25" t="s">
        <v>11</v>
      </c>
      <c r="N3" s="25"/>
      <c r="O3" s="25"/>
      <c r="P3" s="6"/>
      <c r="Q3" s="16"/>
      <c r="R3" s="6"/>
      <c r="S3" s="25"/>
      <c r="T3" s="4"/>
      <c r="U3" s="25"/>
      <c r="V3" s="3"/>
    </row>
    <row r="4" spans="1:24">
      <c r="A4" s="29"/>
      <c r="B4" s="15" t="s">
        <v>12</v>
      </c>
      <c r="C4" s="15" t="s">
        <v>13</v>
      </c>
      <c r="D4" s="7" t="s">
        <v>14</v>
      </c>
      <c r="E4" s="15" t="s">
        <v>13</v>
      </c>
      <c r="F4" s="7" t="s">
        <v>14</v>
      </c>
      <c r="G4" s="15" t="s">
        <v>12</v>
      </c>
      <c r="H4" s="26"/>
      <c r="I4" s="5" t="s">
        <v>14</v>
      </c>
      <c r="J4" s="5" t="s">
        <v>13</v>
      </c>
      <c r="K4" s="5" t="s">
        <v>14</v>
      </c>
      <c r="L4" s="5" t="s">
        <v>13</v>
      </c>
      <c r="M4" s="5" t="s">
        <v>8</v>
      </c>
      <c r="N4" s="12" t="s">
        <v>9</v>
      </c>
      <c r="O4" s="26"/>
      <c r="P4" s="7" t="s">
        <v>19</v>
      </c>
      <c r="Q4" s="17" t="s">
        <v>27</v>
      </c>
      <c r="R4" s="7" t="s">
        <v>18</v>
      </c>
      <c r="S4" s="26"/>
      <c r="T4" s="7" t="s">
        <v>16</v>
      </c>
      <c r="U4" s="26"/>
      <c r="V4" s="3"/>
    </row>
    <row r="5" spans="1:24">
      <c r="A5" s="24">
        <v>40386</v>
      </c>
      <c r="B5" s="23"/>
      <c r="C5" s="23"/>
      <c r="D5" s="23"/>
      <c r="E5" s="23"/>
      <c r="F5" s="23"/>
      <c r="G5" s="23"/>
      <c r="H5" s="23"/>
      <c r="I5" s="30"/>
      <c r="J5" s="30"/>
      <c r="K5" s="30"/>
      <c r="L5" s="30"/>
      <c r="M5" s="30"/>
      <c r="N5" s="11"/>
      <c r="O5" s="23"/>
      <c r="P5" s="23"/>
      <c r="Q5" s="23"/>
      <c r="R5" s="23"/>
      <c r="S5" s="23"/>
      <c r="T5" s="23"/>
      <c r="U5" s="23" t="s">
        <v>32</v>
      </c>
      <c r="V5" s="3"/>
    </row>
    <row r="6" spans="1:24">
      <c r="A6" s="8">
        <v>40387</v>
      </c>
      <c r="D6" s="9">
        <v>38</v>
      </c>
      <c r="E6" s="9">
        <v>22</v>
      </c>
      <c r="H6" s="9">
        <f>SUM(D6:G6)</f>
        <v>60</v>
      </c>
      <c r="N6" s="13">
        <v>7</v>
      </c>
      <c r="O6" s="9">
        <v>11</v>
      </c>
      <c r="R6" s="9">
        <v>1</v>
      </c>
      <c r="U6" t="s">
        <v>15</v>
      </c>
    </row>
    <row r="7" spans="1:24">
      <c r="A7" s="8">
        <v>40388</v>
      </c>
      <c r="B7" s="9">
        <v>1</v>
      </c>
      <c r="D7" s="9">
        <v>37</v>
      </c>
      <c r="E7" s="9">
        <v>12</v>
      </c>
      <c r="H7" s="9">
        <f>SUM(B7:G7)</f>
        <v>50</v>
      </c>
      <c r="N7" s="13">
        <v>7</v>
      </c>
      <c r="O7" s="9">
        <v>3</v>
      </c>
      <c r="P7" s="9">
        <v>1</v>
      </c>
      <c r="U7" t="s">
        <v>20</v>
      </c>
    </row>
    <row r="8" spans="1:24">
      <c r="A8" s="8">
        <v>40394</v>
      </c>
      <c r="C8" s="9">
        <v>1</v>
      </c>
      <c r="D8" s="9">
        <v>7</v>
      </c>
      <c r="E8" s="9">
        <v>5</v>
      </c>
      <c r="G8" s="9">
        <v>1</v>
      </c>
      <c r="H8" s="9">
        <f>SUM(B8:G8)</f>
        <v>14</v>
      </c>
      <c r="U8" t="s">
        <v>22</v>
      </c>
    </row>
    <row r="9" spans="1:24">
      <c r="A9" s="8">
        <v>40399</v>
      </c>
      <c r="D9" s="9">
        <v>5</v>
      </c>
      <c r="E9" s="9">
        <v>1</v>
      </c>
      <c r="H9" s="9">
        <f>SUM(C9:G9)</f>
        <v>6</v>
      </c>
      <c r="M9">
        <v>1</v>
      </c>
      <c r="N9" s="13">
        <v>17</v>
      </c>
      <c r="O9" s="9">
        <v>11</v>
      </c>
      <c r="R9" s="9">
        <v>1</v>
      </c>
      <c r="U9" t="s">
        <v>23</v>
      </c>
    </row>
    <row r="10" spans="1:24">
      <c r="A10" s="8">
        <v>40414</v>
      </c>
      <c r="B10" s="9">
        <v>1</v>
      </c>
      <c r="D10" s="9">
        <v>4</v>
      </c>
      <c r="E10" s="9">
        <v>2</v>
      </c>
      <c r="F10" s="9">
        <v>1</v>
      </c>
      <c r="H10" s="9">
        <f t="shared" ref="H10:H16" si="0">SUM(B10:G10)</f>
        <v>8</v>
      </c>
      <c r="U10" t="s">
        <v>15</v>
      </c>
    </row>
    <row r="11" spans="1:24">
      <c r="A11" s="8">
        <v>40422</v>
      </c>
      <c r="D11" s="9">
        <v>14</v>
      </c>
      <c r="E11" s="9">
        <v>1</v>
      </c>
      <c r="H11" s="9">
        <f t="shared" si="0"/>
        <v>15</v>
      </c>
      <c r="U11" t="s">
        <v>24</v>
      </c>
    </row>
    <row r="12" spans="1:24">
      <c r="A12" s="8">
        <v>40429</v>
      </c>
      <c r="B12" s="9">
        <v>5</v>
      </c>
      <c r="C12" s="9">
        <v>1</v>
      </c>
      <c r="D12" s="9">
        <v>10</v>
      </c>
      <c r="E12" s="9">
        <v>4</v>
      </c>
      <c r="H12" s="9">
        <f t="shared" si="0"/>
        <v>20</v>
      </c>
      <c r="U12" t="s">
        <v>15</v>
      </c>
    </row>
    <row r="13" spans="1:24">
      <c r="A13" s="8">
        <v>40435</v>
      </c>
      <c r="B13" s="9">
        <v>4</v>
      </c>
      <c r="C13" s="9">
        <v>1</v>
      </c>
      <c r="D13" s="9">
        <v>5</v>
      </c>
      <c r="E13" s="9">
        <v>3</v>
      </c>
      <c r="H13" s="9">
        <f t="shared" si="0"/>
        <v>13</v>
      </c>
      <c r="U13" t="s">
        <v>15</v>
      </c>
    </row>
    <row r="14" spans="1:24">
      <c r="A14" s="8">
        <v>40437</v>
      </c>
      <c r="B14" s="9">
        <v>1</v>
      </c>
      <c r="D14" s="9">
        <v>5</v>
      </c>
      <c r="E14" s="9">
        <v>1</v>
      </c>
      <c r="H14" s="9">
        <f t="shared" si="0"/>
        <v>7</v>
      </c>
      <c r="J14">
        <v>1</v>
      </c>
      <c r="N14" s="13">
        <v>25</v>
      </c>
      <c r="O14" s="9">
        <v>68</v>
      </c>
      <c r="U14" t="s">
        <v>25</v>
      </c>
    </row>
    <row r="15" spans="1:24">
      <c r="A15" s="8">
        <v>40442</v>
      </c>
      <c r="B15" s="9">
        <v>10</v>
      </c>
      <c r="C15" s="9">
        <v>2</v>
      </c>
      <c r="D15" s="9">
        <v>21</v>
      </c>
      <c r="E15" s="9">
        <v>9</v>
      </c>
      <c r="H15" s="9">
        <f t="shared" si="0"/>
        <v>42</v>
      </c>
      <c r="J15">
        <v>1</v>
      </c>
      <c r="N15" s="13">
        <v>11</v>
      </c>
      <c r="O15" s="9">
        <v>11</v>
      </c>
      <c r="U15" t="s">
        <v>26</v>
      </c>
    </row>
    <row r="16" spans="1:24">
      <c r="A16" s="8">
        <v>40444</v>
      </c>
      <c r="D16" s="9">
        <v>3</v>
      </c>
      <c r="E16" s="9">
        <v>2</v>
      </c>
      <c r="H16" s="9">
        <f t="shared" si="0"/>
        <v>5</v>
      </c>
      <c r="N16" s="13">
        <v>17</v>
      </c>
      <c r="O16" s="9">
        <v>18</v>
      </c>
      <c r="U16" t="s">
        <v>15</v>
      </c>
    </row>
    <row r="17" spans="1:21">
      <c r="A17" s="8">
        <v>40448</v>
      </c>
      <c r="B17" s="9">
        <v>1</v>
      </c>
      <c r="D17" s="9">
        <v>3</v>
      </c>
      <c r="E17" s="9">
        <v>1</v>
      </c>
      <c r="H17" s="9">
        <f>SUM(B17:G17)</f>
        <v>5</v>
      </c>
      <c r="N17" s="13">
        <v>5</v>
      </c>
      <c r="O17" s="9">
        <v>1</v>
      </c>
      <c r="Q17" s="9">
        <v>1</v>
      </c>
      <c r="U17" t="s">
        <v>15</v>
      </c>
    </row>
    <row r="18" spans="1:21">
      <c r="A18" s="8">
        <v>40451</v>
      </c>
      <c r="B18" s="9">
        <v>1</v>
      </c>
      <c r="D18" s="9">
        <v>3</v>
      </c>
      <c r="E18" s="9">
        <v>2</v>
      </c>
      <c r="H18" s="9">
        <f>SUM(B18:G18)</f>
        <v>6</v>
      </c>
      <c r="N18" s="13">
        <v>1</v>
      </c>
      <c r="O18" s="9">
        <v>1</v>
      </c>
      <c r="U18" t="s">
        <v>15</v>
      </c>
    </row>
    <row r="19" spans="1:21">
      <c r="A19" s="8">
        <v>40455</v>
      </c>
      <c r="U19" t="s">
        <v>31</v>
      </c>
    </row>
    <row r="20" spans="1:21">
      <c r="A20" s="8">
        <v>40463</v>
      </c>
      <c r="D20" s="9">
        <v>1</v>
      </c>
      <c r="H20" s="9">
        <f>SUM(B20:G20)</f>
        <v>1</v>
      </c>
      <c r="J20">
        <v>1</v>
      </c>
      <c r="U20" t="s">
        <v>28</v>
      </c>
    </row>
    <row r="21" spans="1:21">
      <c r="A21" s="8">
        <v>40470</v>
      </c>
      <c r="D21" s="9">
        <v>2</v>
      </c>
      <c r="H21" s="9">
        <f>SUM(B21:G21)</f>
        <v>2</v>
      </c>
      <c r="U21" t="s">
        <v>29</v>
      </c>
    </row>
    <row r="22" spans="1:21" s="20" customFormat="1">
      <c r="A22" s="18">
        <v>40477</v>
      </c>
      <c r="B22" s="19"/>
      <c r="C22" s="19"/>
      <c r="D22" s="19"/>
      <c r="E22" s="19"/>
      <c r="G22" s="19"/>
      <c r="H22" s="19"/>
      <c r="N22" s="21"/>
      <c r="O22" s="19"/>
      <c r="P22" s="19"/>
      <c r="Q22" s="19"/>
      <c r="R22" s="19"/>
      <c r="U22" s="20" t="s">
        <v>30</v>
      </c>
    </row>
    <row r="24" spans="1:21">
      <c r="A24" s="8" t="s">
        <v>21</v>
      </c>
      <c r="B24" s="9">
        <f>SUM(B6:B23)</f>
        <v>24</v>
      </c>
      <c r="C24" s="9">
        <f t="shared" ref="C24:T24" si="1">SUM(C6:C23)</f>
        <v>5</v>
      </c>
      <c r="D24">
        <f t="shared" si="1"/>
        <v>158</v>
      </c>
      <c r="E24" s="9">
        <f t="shared" si="1"/>
        <v>65</v>
      </c>
      <c r="F24">
        <f t="shared" si="1"/>
        <v>1</v>
      </c>
      <c r="G24" s="9">
        <f t="shared" si="1"/>
        <v>1</v>
      </c>
      <c r="H24" s="22">
        <f t="shared" si="1"/>
        <v>254</v>
      </c>
      <c r="I24">
        <f t="shared" si="1"/>
        <v>0</v>
      </c>
      <c r="J24">
        <f t="shared" si="1"/>
        <v>3</v>
      </c>
      <c r="K24">
        <f t="shared" si="1"/>
        <v>0</v>
      </c>
      <c r="L24">
        <f t="shared" si="1"/>
        <v>0</v>
      </c>
      <c r="M24">
        <f t="shared" si="1"/>
        <v>1</v>
      </c>
      <c r="N24">
        <f t="shared" si="1"/>
        <v>90</v>
      </c>
      <c r="O24">
        <f t="shared" si="1"/>
        <v>124</v>
      </c>
      <c r="P24">
        <f t="shared" si="1"/>
        <v>1</v>
      </c>
      <c r="Q24"/>
      <c r="R24">
        <f t="shared" si="1"/>
        <v>2</v>
      </c>
      <c r="S24">
        <f t="shared" si="1"/>
        <v>0</v>
      </c>
      <c r="T24">
        <f t="shared" si="1"/>
        <v>0</v>
      </c>
    </row>
  </sheetData>
  <mergeCells count="14">
    <mergeCell ref="U2:U4"/>
    <mergeCell ref="S2:S4"/>
    <mergeCell ref="O2:O4"/>
    <mergeCell ref="A1:L1"/>
    <mergeCell ref="A2:A4"/>
    <mergeCell ref="B2:E2"/>
    <mergeCell ref="F2:G2"/>
    <mergeCell ref="H2:H4"/>
    <mergeCell ref="I2:L2"/>
    <mergeCell ref="M3:N3"/>
    <mergeCell ref="B3:C3"/>
    <mergeCell ref="D3:E3"/>
    <mergeCell ref="I3:J3"/>
    <mergeCell ref="K3:L3"/>
  </mergeCells>
  <pageMargins left="0.7" right="0.7" top="0.75" bottom="0.75" header="0.3" footer="0.3"/>
  <pageSetup orientation="portrait" verticalDpi="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g2odvckh</dc:creator>
  <cp:lastModifiedBy>g2odvckh</cp:lastModifiedBy>
  <dcterms:created xsi:type="dcterms:W3CDTF">2010-08-03T16:24:28Z</dcterms:created>
  <dcterms:modified xsi:type="dcterms:W3CDTF">2016-02-24T00:41:14Z</dcterms:modified>
</cp:coreProperties>
</file>